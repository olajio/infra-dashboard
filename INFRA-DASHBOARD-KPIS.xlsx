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PIs" sheetId="1" state="visible" r:id="rId3"/>
    <sheet name="Summary" sheetId="2" state="visible" r:id="rId4"/>
  </sheets>
  <definedNames>
    <definedName function="false" hidden="true" localSheetId="0" name="_xlnm._FilterDatabase" vbProcedure="false">KPIs!$A$4:$K$20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<sst xmlns="http://schemas.openxmlformats.org/spreadsheetml/2006/main" count="188" uniqueCount="143">
  <si>
    <t xml:space="preserve">Infrastructure Dashboard — KPI status</t>
  </si>
  <si>
    <t xml:space="preserve">KPIs from dashboard_kpis.txt (28 Oct 2026). Status: Achievable = built on the new dashboard from data that exists; Partly achievable = built, with the limits stated; Not achievable yet = placeholder card on the dashboard, reason stated. Queries to settle the open ones: dashboard_queries.md.</t>
  </si>
  <si>
    <t xml:space="preserve">#</t>
  </si>
  <si>
    <t xml:space="preserve">Section</t>
  </si>
  <si>
    <t xml:space="preserve">KPI</t>
  </si>
  <si>
    <t xml:space="preserve">Status</t>
  </si>
  <si>
    <t xml:space="preserve">Extent — what the new dashboard shows</t>
  </si>
  <si>
    <t xml:space="preserve">Why not / limits</t>
  </si>
  <si>
    <t xml:space="preserve">Panel on the new dashboard</t>
  </si>
  <si>
    <t xml:space="preserve">Achieved in Operations Dashboard — Consolidated?</t>
  </si>
  <si>
    <t xml:space="preserve">Achieved in MIM V3?</t>
  </si>
  <si>
    <t xml:space="preserve">Data source (index)</t>
  </si>
  <si>
    <t xml:space="preserve">Next step</t>
  </si>
  <si>
    <t xml:space="preserve">Control</t>
  </si>
  <si>
    <t xml:space="preserve">Control input: CI</t>
  </si>
  <si>
    <t xml:space="preserve">Achievable</t>
  </si>
  <si>
    <t xml:space="preserve">CI control at the top of the dashboard (the same as MIM V3): every panel follows the CI picked. It lists the CIs with a P1–P3 incident opened in the last 31 days, plus every production server sending OS metrics.</t>
  </si>
  <si>
    <t xml:space="preserve">A CI with no recent incident that is not a metrics-sending server (e.g. an application service with no incident) is not in the list.</t>
  </si>
  <si>
    <t xml:space="preserve">CI control (pinned)</t>
  </si>
  <si>
    <t xml:space="preserve">No — filters by Location, Support group and Host</t>
  </si>
  <si>
    <t xml:space="preserve">Yes — CI control</t>
  </si>
  <si>
    <t xml:space="preserve">servicenow-incidents-*, .ds-metrics-system.cpu-default*</t>
  </si>
  <si>
    <t xml:space="preserve">—</t>
  </si>
  <si>
    <t xml:space="preserve">1 · Incidents, changes and alerts</t>
  </si>
  <si>
    <t xml:space="preserve">P1/P2 incident counts</t>
  </si>
  <si>
    <t xml:space="preserve">Two tiles: open P1 and open P2 incidents on the selected CI; every CI when none is picked.</t>
  </si>
  <si>
    <t xml:space="preserve">Counts incidents opened in the last 30 days: the incident record's @timestamp is its opened time (Round 16), so an incident open longer than that is not counted.</t>
  </si>
  <si>
    <t xml:space="preserve">Active P1 incidents · Active P2 incidents</t>
  </si>
  <si>
    <t xml:space="preserve">Yes — Active P1 / Active P2 tiles, estate-wide (not per CI)</t>
  </si>
  <si>
    <t xml:space="preserve">Partly — Active P1, P2 over 8 h, P3 over 24 h tiles, estate-wide</t>
  </si>
  <si>
    <t xml:space="preserve">servicenow-incidents-*</t>
  </si>
  <si>
    <t xml:space="preserve">Agree the look-back window (30 days today).</t>
  </si>
  <si>
    <t xml:space="preserve">User impact</t>
  </si>
  <si>
    <t xml:space="preserve">Not achievable yet</t>
  </si>
  <si>
    <t xml:space="preserve">Placeholder tiles "In progress" (ServiceNow user base, real users / RUM).</t>
  </si>
  <si>
    <t xml:space="preserve">No data source yet: the ServiceNow user-base integration and real-user monitoring (RUM) are still being built.</t>
  </si>
  <si>
    <t xml:space="preserve">User impact · ServiceNow · User impact · RUM (placeholders)</t>
  </si>
  <si>
    <t xml:space="preserve">No</t>
  </si>
  <si>
    <t xml:space="preserve">No — same "In progress" tiles</t>
  </si>
  <si>
    <t xml:space="preserve">— (pending integrations)</t>
  </si>
  <si>
    <t xml:space="preserve">Complete the ServiceNow user-base and RUM integrations.</t>
  </si>
  <si>
    <t xml:space="preserve">Elastic Infra Alerts</t>
  </si>
  <si>
    <t xml:space="preserve">Partly achievable</t>
  </si>
  <si>
    <t xml:space="preserve">Netcool alerts on the selected CI are shown (state, severity, text, times fired, last 7 days).</t>
  </si>
  <si>
    <t xml:space="preserve">Alerts from Elastic's own alerting rules are not confirmed on the cluster: no Observability rule alerts have been seen so far. Placeholder card until IQ3 shows rules and alerts with a host or CI.</t>
  </si>
  <si>
    <t xml:space="preserve">Alerts on this CI (Netcool) · Elastic infra alerts (placeholder)</t>
  </si>
  <si>
    <t xml:space="preserve">Partly — Netcool alert volume and dedup ratio, estate-wide; no Elastic alerts</t>
  </si>
  <si>
    <t xml:space="preserve">Partly — Netcool alerts on the CI</t>
  </si>
  <si>
    <t xml:space="preserve">.ds-bridge-alerts-netcool-*; Elastic: .alerts-observability.* (to confirm)</t>
  </si>
  <si>
    <t xml:space="preserve">Run IQ3 in dashboard_queries.md.</t>
  </si>
  <si>
    <t xml:space="preserve">Incidents table</t>
  </si>
  <si>
    <t xml:space="preserve">Active P1–P3 incidents on the selected CI with CMDB class, environment, support group, assignment group, assignee and group manager (with emails); links to ServiceNow.</t>
  </si>
  <si>
    <t xml:space="preserve">Incidents opened in the last 30 days (see P1/P2 counts). Empty until a CI is picked.</t>
  </si>
  <si>
    <t xml:space="preserve">Incidents on this CI</t>
  </si>
  <si>
    <t xml:space="preserve">Yes — Affected CIs — Active P1 / P2 (estate-wide)</t>
  </si>
  <si>
    <t xml:space="preserve">Yes — Escalate, Active Incidents</t>
  </si>
  <si>
    <t xml:space="preserve">Changes table</t>
  </si>
  <si>
    <t xml:space="preserve">Change requests active in the last 7 days on the selected CI and on CIs linked to it in the CMDB: type, category, state, outcome, planned start, end, group; links to ServiceNow.</t>
  </si>
  <si>
    <t xml:space="preserve">Changes on linked CIs (ESX host, cluster, application …) show only when their CMDB link was recorded in the same 7 days, because relation records are written only when a link changes. No actual start or maintenance windows in the data, so planned start is shown.</t>
  </si>
  <si>
    <t xml:space="preserve">Changes on this CI (last 7 days)</t>
  </si>
  <si>
    <t xml:space="preserve">Yes — Changes in the Last 7 Days on this CI</t>
  </si>
  <si>
    <t xml:space="preserve">servicenow-change-requests-*, cmdb-ci-relations*</t>
  </si>
  <si>
    <t xml:space="preserve">2 · Infrastructure overview</t>
  </si>
  <si>
    <t xml:space="preserve">Server health</t>
  </si>
  <si>
    <t xml:space="preserve">For a server CI (or a server picked in the optional Server control): reporting status, minutes since last data, CPU p90, memory peak, disk max, over the Health window (15 min – 7 days).</t>
  </si>
  <si>
    <t xml:space="preserve">Only servers sending OS metrics (system.*). Servers without metrics (e.g. AIX) show "No data in window". For a non-server CI (application service), pick one of its servers in the Server control; a CI that runs on a Kubernetes pod has no CMDB server to pick (TC-06).</t>
  </si>
  <si>
    <t xml:space="preserve">Server Health (+ Server, Health window controls)</t>
  </si>
  <si>
    <t xml:space="preserve">Yes — Servers up / down, availability %, availability trend, CPU / memory / disk saturation (estate-wide)</t>
  </si>
  <si>
    <t xml:space="preserve">Yes — Server Health</t>
  </si>
  <si>
    <t xml:space="preserve">.ds-metrics-system.*, cmdb-ci-relations*</t>
  </si>
  <si>
    <t xml:space="preserve">Database health</t>
  </si>
  <si>
    <t xml:space="preserve">Databases on the server: SQL Server (SQL Server metrics) and database Windows services and processes (SQL Server, Oracle, Db2, PostgreSQL, MySQL …), Down first.</t>
  </si>
  <si>
    <t xml:space="preserve">SQL Server metrics are recorded against the instance name (MSSQLSERVER@host), so only some match the server. Oracle and IBM Db2 metrics are collected remotely under the collector's host name, not per server. GCP CloudSQL has its own detail dashboard and is not linked to CIs.</t>
  </si>
  <si>
    <t xml:space="preserve">Database Health</t>
  </si>
  <si>
    <t xml:space="preserve">No — Database tiers appear only as collection health in Monitored Estate; CloudSQL detail dashboard is separate</t>
  </si>
  <si>
    <t xml:space="preserve">Yes — Database Health</t>
  </si>
  <si>
    <t xml:space="preserve">metrics-sql*, metrics-windows.service-*, metrics-system.process-*</t>
  </si>
  <si>
    <t xml:space="preserve">Per-database metrics (Oracle, CloudSQL) would need each tier's own identifier linked to CIs.</t>
  </si>
  <si>
    <t xml:space="preserve">Middleware health</t>
  </si>
  <si>
    <t xml:space="preserve">Middleware processes on the server labelled by Paladin (JBoss, Tomcat, IBM MQ, WebSphere …) with status and minutes since seen.</t>
  </si>
  <si>
    <t xml:space="preserve">Only Paladin-labelled processes. IBM MQ queue metrics are collected remotely (collector host name), so queue depth / channel health is not shown per CI.</t>
  </si>
  <si>
    <t xml:space="preserve">Middleware Health</t>
  </si>
  <si>
    <t xml:space="preserve">No — IBM MQ appears only as collection health in Monitored Estate</t>
  </si>
  <si>
    <t xml:space="preserve">Yes — Middleware Health</t>
  </si>
  <si>
    <t xml:space="preserve">metrics-system.process-* (Paladin enrichment)</t>
  </si>
  <si>
    <t xml:space="preserve">VMWare health</t>
  </si>
  <si>
    <t xml:space="preserve">Placeholder card. vSphere metrics are collected (metrics-vsphere.*, 7 data streams).</t>
  </si>
  <si>
    <t xml:space="preserve">The vSphere data is stored under the collector's host name, so VMs and ESXi hosts have to be found by their own name fields; how those match CMDB CIs (VM name = server name, or the CMDB link server → ESX host) is not confirmed yet.</t>
  </si>
  <si>
    <t xml:space="preserve">VMware health (placeholder)</t>
  </si>
  <si>
    <t xml:space="preserve">Partly — vSphere collection health only (Monitored Estate)</t>
  </si>
  <si>
    <t xml:space="preserve">metrics-vsphere.*, cmdb-ci-relations* (cmdb_ci_esx_server)</t>
  </si>
  <si>
    <t xml:space="preserve">Run IQ1 in dashboard_queries.md; then build per-CI VM / ESX host health.</t>
  </si>
  <si>
    <t xml:space="preserve">Cloud health</t>
  </si>
  <si>
    <t xml:space="preserve">Placeholder card. GCP metrics are collected (metrics-gcp.*, 4 data streams incl. CloudSQL and GKE, ~200 M documents).</t>
  </si>
  <si>
    <t xml:space="preserve">The GCP data is not linked to CMDB CIs, and its resource identifiers per data set are not confirmed yet. No AWS / Azure data has been seen.</t>
  </si>
  <si>
    <t xml:space="preserve">Cloud health (placeholder)</t>
  </si>
  <si>
    <t xml:space="preserve">Partly — GCP collection health (Monitored Estate); CloudSQL detail dashboard</t>
  </si>
  <si>
    <t xml:space="preserve">metrics-gcp.*, cmdb-ci-relations* (cloud classes)</t>
  </si>
  <si>
    <t xml:space="preserve">Run IQ2 in dashboard_queries.md; then build per-resource (or per-CI) cloud health.</t>
  </si>
  <si>
    <t xml:space="preserve">Custom Integration health</t>
  </si>
  <si>
    <t xml:space="preserve">Placeholder card.</t>
  </si>
  <si>
    <t xml:space="preserve">Needs a definition: which integrations count (custom data feeds such as ServiceNow, Netcool bridge, CMDB relations, Paladin — or custom Fleet integrations) and what "healthy" means (data within N minutes?).</t>
  </si>
  <si>
    <t xml:space="preserve">Custom integration health (placeholder)</t>
  </si>
  <si>
    <t xml:space="preserve">Partly — Ingest Pipeline Health and Telemetry Freshness (ingest lag per data set), if that is the meaning</t>
  </si>
  <si>
    <t xml:space="preserve">servicenow-*, .ds-bridge-alerts-netcool-*, cmdb-ci-relations*, paladin-alerts-*; Fleet</t>
  </si>
  <si>
    <t xml:space="preserve">Confirm the definition; run IQ4 in dashboard_queries.md.</t>
  </si>
  <si>
    <t xml:space="preserve">Process health</t>
  </si>
  <si>
    <t xml:space="preserve">Windows services (Stopped first) and middleware processes on the server, with status, kind, minutes since seen and owner.</t>
  </si>
  <si>
    <t xml:space="preserve">Linux / AIX OS processes are listed only when Paladin labels them (middleware). Owner is often empty.</t>
  </si>
  <si>
    <t xml:space="preserve">Process Health</t>
  </si>
  <si>
    <t xml:space="preserve">Yes — Process Health</t>
  </si>
  <si>
    <t xml:space="preserve">metrics-windows.service-*, metrics-system.process-*</t>
  </si>
  <si>
    <t xml:space="preserve">3 · Applications overview</t>
  </si>
  <si>
    <t xml:space="preserve">Applications related to selected CI/Server</t>
  </si>
  <si>
    <t xml:space="preserve">Business applications and application services linked to the CI in the CMDB (either direction, production), with how they are linked.</t>
  </si>
  <si>
    <t xml:space="preserve">Only CMDB links; follows the CI control (a server picked in the Server control does not drive it).</t>
  </si>
  <si>
    <t xml:space="preserve">Applications related to this CI</t>
  </si>
  <si>
    <t xml:space="preserve">No — Application Estate and Applications on Silent Servers, not per CI</t>
  </si>
  <si>
    <t xml:space="preserve">Yes — Applications related to this CI</t>
  </si>
  <si>
    <t xml:space="preserve">cmdb-ci-relations*</t>
  </si>
  <si>
    <t xml:space="preserve">Application health (traffic light)</t>
  </si>
  <si>
    <t xml:space="preserve">Production applications related to the CI (every production application when none is picked) with a Healthy / Degraded / Failing badge (green / amber / red) from the failed-transaction rate, plus services, worst service and error rate.</t>
  </si>
  <si>
    <t xml:space="preserve">Only applications instrumented with APM. Applications without APM have no health signal.</t>
  </si>
  <si>
    <t xml:space="preserve">Application Health</t>
  </si>
  <si>
    <t xml:space="preserve">Yes — Application Health and Application Health Mix (estate-wide)</t>
  </si>
  <si>
    <t xml:space="preserve">Yes — Application Health</t>
  </si>
  <si>
    <t xml:space="preserve">metrics-apm.service_transaction.1m-*, metrics-apm.internal-*, cmdb-ci-relations*</t>
  </si>
  <si>
    <t xml:space="preserve">Service health for selected application</t>
  </si>
  <si>
    <t xml:space="preserve">Services of the application picked in the Application control (health, error rate, latency, throughput, servers), and the health of the service picked in the Service control (or the services on the CI).</t>
  </si>
  <si>
    <t xml:space="preserve">APM-instrumented services only.</t>
  </si>
  <si>
    <t xml:space="preserve">Services of the Application · Service health (+ Application, Service controls)</t>
  </si>
  <si>
    <t xml:space="preserve">Yes — Services of the Application, Service health</t>
  </si>
  <si>
    <t xml:space="preserve">metrics-apm.service_transaction.1m-*, metrics-apm.internal-*</t>
  </si>
  <si>
    <t xml:space="preserve">Summary</t>
  </si>
  <si>
    <t xml:space="preserve">KPIs</t>
  </si>
  <si>
    <t xml:space="preserve">Total</t>
  </si>
  <si>
    <t xml:space="preserve">Achieved in the earlier dashboards</t>
  </si>
  <si>
    <t xml:space="preserve">Answer starts with</t>
  </si>
  <si>
    <t xml:space="preserve">Consolidated</t>
  </si>
  <si>
    <t xml:space="preserve">MIM V3</t>
  </si>
  <si>
    <t xml:space="preserve">Yes</t>
  </si>
  <si>
    <t xml:space="preserve">Partly</t>
  </si>
  <si>
    <t xml:space="preserve">Counts are formulas over the KPIs sheet: change a Status or an "Achieved" answer there and they update.</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</si>
</sst>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1"/>
      <color rgb="FFFFFFFF"/>
      <name val="Arial"/>
      <family val="0"/>
      <charset val="1"/>
    </font>
    <font>
      <sz val="10"/>
      <name val="Arial"/>
      <family val="0"/>
      <charset val="1"/>
    </font>
    <font>
      <b val="true"/>
      <sz val="10"/>
      <name val="Arial"/>
      <family val="0"/>
      <charset val="1"/>
    </font>
    <font>
      <sz val="11"/>
      <name val="Arial"/>
      <family val="0"/>
      <charset val="1"/>
    </font>
    <font>
      <b val="true"/>
      <sz val="11"/>
      <name val="Arial"/>
      <family val="0"/>
      <charset val="1"/>
    </font>
    <font>
      <i val="true"/>
      <sz val="9"/>
      <name val="Arial"/>
      <family val="0"/>
      <charset val="1"/>
    </font>
  </fonts>
  <fills count="6">
    <fill>
      <patternFill patternType="none"/>
    </fill>
    <fill>
      <patternFill patternType="gray125"/>
    </fill>
    <fill>
      <patternFill patternType="solid">
        <fgColor rgb="FF1D2530"/>
        <bgColor rgb="FF333300"/>
      </patternFill>
    </fill>
    <fill>
      <patternFill patternType="solid">
        <fgColor rgb="FFE3F5EC"/>
        <bgColor rgb="FFFDECEB"/>
      </patternFill>
    </fill>
    <fill>
      <patternFill patternType="solid">
        <fgColor rgb="FFFFF4DC"/>
        <bgColor rgb="FFFDECEB"/>
      </patternFill>
    </fill>
    <fill>
      <patternFill patternType="solid">
        <fgColor rgb="FFFDECEB"/>
        <bgColor rgb="FFFFF4DC"/>
      </patternFill>
    </fill>
  </fills>
  <borders count="2">
    <border diagonalUp="false" diagonalDown="false">
      <left/>
      <right/>
      <top/>
      <bottom/>
      <diagonal/>
    </border>
    <border diagonalUp="false" diagonalDown="false">
      <left style="thin">
        <color rgb="FFC9D2DB"/>
      </left>
      <right style="thin">
        <color rgb="FFC9D2DB"/>
      </right>
      <top style="thin">
        <color rgb="FFC9D2DB"/>
      </top>
      <bottom style="thin">
        <color rgb="FFC9D2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D2530"/>
          <bgColor rgb="FF000000"/>
        </patternFill>
      </fill>
    </dxf>
    <dxf>
      <fill>
        <patternFill patternType="solid">
          <bgColor rgb="FF000000"/>
        </patternFill>
      </fill>
    </dxf>
    <dxf>
      <fill>
        <patternFill patternType="solid">
          <fgColor rgb="FFFFFFFF"/>
          <bgColor rgb="FF000000"/>
        </patternFill>
      </fill>
    </dxf>
    <dxf>
      <fill>
        <patternFill patternType="solid">
          <fgColor rgb="FFE3F5EC"/>
          <bgColor rgb="FF000000"/>
        </patternFill>
      </fill>
    </dxf>
    <dxf>
      <fill>
        <patternFill patternType="solid">
          <fgColor rgb="FFFDECEB"/>
          <bgColor rgb="FF000000"/>
        </patternFill>
      </fill>
    </dxf>
    <dxf>
      <fill>
        <patternFill patternType="solid">
          <fgColor rgb="FFFFF4DC"/>
          <bgColor rgb="FF000000"/>
        </patternFill>
      </fill>
    </dxf>
    <dxf>
      <fill>
        <patternFill>
          <bgColor rgb="FFE3F5EC"/>
        </patternFill>
      </fill>
    </dxf>
    <dxf>
      <fill>
        <patternFill>
          <bgColor rgb="FFFFF4DC"/>
        </patternFill>
      </fill>
    </dxf>
    <dxf>
      <fill>
        <patternFill>
          <bgColor rgb="FFFDECE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C"/>
      <rgbColor rgb="FFE3F5EC"/>
      <rgbColor rgb="FF660066"/>
      <rgbColor rgb="FFFF8080"/>
      <rgbColor rgb="FF0066CC"/>
      <rgbColor rgb="FFC9D2DB"/>
      <rgbColor rgb="FF000080"/>
      <rgbColor rgb="FFFF00FF"/>
      <rgbColor rgb="FFFFFF00"/>
      <rgbColor rgb="FF00FFFF"/>
      <rgbColor rgb="FF800080"/>
      <rgbColor rgb="FF800000"/>
      <rgbColor rgb="FF008080"/>
      <rgbColor rgb="FF0000FF"/>
      <rgbColor rgb="FF00CCFF"/>
      <rgbColor rgb="FFCCFFFF"/>
      <rgbColor rgb="FFCCFFCC"/>
      <rgbColor rgb="FFFDECEB"/>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D25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26"/>
    <col collapsed="false" customWidth="true" hidden="false" outlineLevel="0" max="4" min="4" style="0" width="18"/>
    <col collapsed="false" customWidth="true" hidden="false" outlineLevel="0" max="5" min="5" style="0" width="52"/>
    <col collapsed="false" customWidth="true" hidden="false" outlineLevel="0" max="6" min="6" style="0" width="58"/>
    <col collapsed="false" customWidth="true" hidden="false" outlineLevel="0" max="7" min="7" style="0" width="30"/>
    <col collapsed="false" customWidth="true" hidden="false" outlineLevel="0" max="8" min="8" style="0" width="34"/>
    <col collapsed="false" customWidth="true" hidden="false" outlineLevel="0" max="9" min="9" style="0" width="28"/>
    <col collapsed="false" customWidth="true" hidden="false" outlineLevel="0" max="11" min="10" style="0" width="34"/>
  </cols>
  <sheetData>
    <row r="1" customFormat="false" ht="17.35" hidden="false" customHeight="false" outlineLevel="0" collapsed="false">
      <c r="A1" s="1" t="s">
        <v>0</v>
      </c>
    </row>
    <row r="2" customFormat="false" ht="31.5" hidden="false" customHeight="true" outlineLevel="0" collapsed="false">
      <c r="A2" s="2" t="s">
        <v>1</v>
      </c>
      <c r="B2" s="2"/>
      <c r="C2" s="2"/>
      <c r="D2" s="2"/>
      <c r="E2" s="2"/>
      <c r="F2" s="2"/>
      <c r="G2" s="2"/>
      <c r="H2" s="2"/>
      <c r="I2" s="2"/>
      <c r="J2" s="2"/>
      <c r="K2" s="2"/>
    </row>
    <row r="4" customFormat="false" ht="26.85" hidden="false" customHeight="false" outlineLevel="0" collapsed="false">
      <c r="A4" s="3" t="s">
        <v>2</v>
      </c>
      <c r="B4" s="3" t="s">
        <v>3</v>
      </c>
      <c r="C4" s="3" t="s">
        <v>4</v>
      </c>
      <c r="D4" s="3" t="s">
        <v>5</v>
      </c>
      <c r="E4" s="3" t="s">
        <v>6</v>
      </c>
      <c r="F4" s="3" t="s">
        <v>7</v>
      </c>
      <c r="G4" s="3" t="s">
        <v>8</v>
      </c>
      <c r="H4" s="3" t="s">
        <v>9</v>
      </c>
      <c r="I4" s="3" t="s">
        <v>10</v>
      </c>
      <c r="J4" s="3" t="s">
        <v>11</v>
      </c>
      <c r="K4" s="3" t="s">
        <v>12</v>
      </c>
    </row>
    <row r="5" customFormat="false" ht="46.25" hidden="false" customHeight="false" outlineLevel="0" collapsed="false">
      <c r="A5" s="4" t="n">
        <v>1</v>
      </c>
      <c r="B5" s="4" t="s">
        <v>13</v>
      </c>
      <c r="C5" s="5" t="s">
        <v>14</v>
      </c>
      <c r="D5" s="4" t="s">
        <v>15</v>
      </c>
      <c r="E5" s="4" t="s">
        <v>16</v>
      </c>
      <c r="F5" s="4" t="s">
        <v>17</v>
      </c>
      <c r="G5" s="4" t="s">
        <v>18</v>
      </c>
      <c r="H5" s="4" t="s">
        <v>19</v>
      </c>
      <c r="I5" s="4" t="s">
        <v>20</v>
      </c>
      <c r="J5" s="4" t="s">
        <v>21</v>
      </c>
      <c r="K5" s="4" t="s">
        <v>22</v>
      </c>
    </row>
    <row r="6" customFormat="false" ht="35.05" hidden="false" customHeight="false" outlineLevel="0" collapsed="false">
      <c r="A6" s="4" t="n">
        <v>2</v>
      </c>
      <c r="B6" s="4" t="s">
        <v>23</v>
      </c>
      <c r="C6" s="5" t="s">
        <v>24</v>
      </c>
      <c r="D6" s="4" t="s">
        <v>15</v>
      </c>
      <c r="E6" s="4" t="s">
        <v>25</v>
      </c>
      <c r="F6" s="4" t="s">
        <v>26</v>
      </c>
      <c r="G6" s="4" t="s">
        <v>27</v>
      </c>
      <c r="H6" s="4" t="s">
        <v>28</v>
      </c>
      <c r="I6" s="4" t="s">
        <v>29</v>
      </c>
      <c r="J6" s="4" t="s">
        <v>30</v>
      </c>
      <c r="K6" s="4" t="s">
        <v>31</v>
      </c>
    </row>
    <row r="7" customFormat="false" ht="23.85" hidden="false" customHeight="false" outlineLevel="0" collapsed="false">
      <c r="A7" s="4" t="n">
        <v>3</v>
      </c>
      <c r="B7" s="4" t="s">
        <v>23</v>
      </c>
      <c r="C7" s="5" t="s">
        <v>32</v>
      </c>
      <c r="D7" s="4" t="s">
        <v>33</v>
      </c>
      <c r="E7" s="4" t="s">
        <v>34</v>
      </c>
      <c r="F7" s="4" t="s">
        <v>35</v>
      </c>
      <c r="G7" s="4" t="s">
        <v>36</v>
      </c>
      <c r="H7" s="4" t="s">
        <v>37</v>
      </c>
      <c r="I7" s="4" t="s">
        <v>38</v>
      </c>
      <c r="J7" s="4" t="s">
        <v>39</v>
      </c>
      <c r="K7" s="4" t="s">
        <v>40</v>
      </c>
    </row>
    <row r="8" customFormat="false" ht="35.05" hidden="false" customHeight="false" outlineLevel="0" collapsed="false">
      <c r="A8" s="4" t="n">
        <v>4</v>
      </c>
      <c r="B8" s="4" t="s">
        <v>23</v>
      </c>
      <c r="C8" s="5" t="s">
        <v>41</v>
      </c>
      <c r="D8" s="4" t="s">
        <v>42</v>
      </c>
      <c r="E8" s="4" t="s">
        <v>43</v>
      </c>
      <c r="F8" s="4" t="s">
        <v>44</v>
      </c>
      <c r="G8" s="4" t="s">
        <v>45</v>
      </c>
      <c r="H8" s="4" t="s">
        <v>46</v>
      </c>
      <c r="I8" s="4" t="s">
        <v>47</v>
      </c>
      <c r="J8" s="4" t="s">
        <v>48</v>
      </c>
      <c r="K8" s="4" t="s">
        <v>49</v>
      </c>
    </row>
    <row r="9" customFormat="false" ht="35.05" hidden="false" customHeight="false" outlineLevel="0" collapsed="false">
      <c r="A9" s="4" t="n">
        <v>5</v>
      </c>
      <c r="B9" s="4" t="s">
        <v>23</v>
      </c>
      <c r="C9" s="5" t="s">
        <v>50</v>
      </c>
      <c r="D9" s="4" t="s">
        <v>15</v>
      </c>
      <c r="E9" s="4" t="s">
        <v>51</v>
      </c>
      <c r="F9" s="4" t="s">
        <v>52</v>
      </c>
      <c r="G9" s="4" t="s">
        <v>53</v>
      </c>
      <c r="H9" s="4" t="s">
        <v>54</v>
      </c>
      <c r="I9" s="4" t="s">
        <v>55</v>
      </c>
      <c r="J9" s="4" t="s">
        <v>21</v>
      </c>
      <c r="K9" s="4" t="s">
        <v>22</v>
      </c>
    </row>
    <row r="10" customFormat="false" ht="46.25" hidden="false" customHeight="false" outlineLevel="0" collapsed="false">
      <c r="A10" s="4" t="n">
        <v>6</v>
      </c>
      <c r="B10" s="4" t="s">
        <v>23</v>
      </c>
      <c r="C10" s="5" t="s">
        <v>56</v>
      </c>
      <c r="D10" s="4" t="s">
        <v>15</v>
      </c>
      <c r="E10" s="4" t="s">
        <v>57</v>
      </c>
      <c r="F10" s="4" t="s">
        <v>58</v>
      </c>
      <c r="G10" s="4" t="s">
        <v>59</v>
      </c>
      <c r="H10" s="4" t="s">
        <v>37</v>
      </c>
      <c r="I10" s="4" t="s">
        <v>60</v>
      </c>
      <c r="J10" s="4" t="s">
        <v>61</v>
      </c>
      <c r="K10" s="4" t="s">
        <v>22</v>
      </c>
    </row>
    <row r="11" customFormat="false" ht="46.25" hidden="false" customHeight="false" outlineLevel="0" collapsed="false">
      <c r="A11" s="4" t="n">
        <v>7</v>
      </c>
      <c r="B11" s="4" t="s">
        <v>62</v>
      </c>
      <c r="C11" s="5" t="s">
        <v>63</v>
      </c>
      <c r="D11" s="4" t="s">
        <v>15</v>
      </c>
      <c r="E11" s="4" t="s">
        <v>64</v>
      </c>
      <c r="F11" s="4" t="s">
        <v>65</v>
      </c>
      <c r="G11" s="4" t="s">
        <v>66</v>
      </c>
      <c r="H11" s="4" t="s">
        <v>67</v>
      </c>
      <c r="I11" s="4" t="s">
        <v>68</v>
      </c>
      <c r="J11" s="4" t="s">
        <v>69</v>
      </c>
      <c r="K11" s="4" t="s">
        <v>22</v>
      </c>
    </row>
    <row r="12" customFormat="false" ht="57.45" hidden="false" customHeight="false" outlineLevel="0" collapsed="false">
      <c r="A12" s="4" t="n">
        <v>8</v>
      </c>
      <c r="B12" s="4" t="s">
        <v>62</v>
      </c>
      <c r="C12" s="5" t="s">
        <v>70</v>
      </c>
      <c r="D12" s="4" t="s">
        <v>42</v>
      </c>
      <c r="E12" s="4" t="s">
        <v>71</v>
      </c>
      <c r="F12" s="4" t="s">
        <v>72</v>
      </c>
      <c r="G12" s="4" t="s">
        <v>73</v>
      </c>
      <c r="H12" s="4" t="s">
        <v>74</v>
      </c>
      <c r="I12" s="4" t="s">
        <v>75</v>
      </c>
      <c r="J12" s="4" t="s">
        <v>76</v>
      </c>
      <c r="K12" s="4" t="s">
        <v>77</v>
      </c>
    </row>
    <row r="13" customFormat="false" ht="35.05" hidden="false" customHeight="false" outlineLevel="0" collapsed="false">
      <c r="A13" s="4" t="n">
        <v>9</v>
      </c>
      <c r="B13" s="4" t="s">
        <v>62</v>
      </c>
      <c r="C13" s="5" t="s">
        <v>78</v>
      </c>
      <c r="D13" s="4" t="s">
        <v>42</v>
      </c>
      <c r="E13" s="4" t="s">
        <v>79</v>
      </c>
      <c r="F13" s="4" t="s">
        <v>80</v>
      </c>
      <c r="G13" s="4" t="s">
        <v>81</v>
      </c>
      <c r="H13" s="4" t="s">
        <v>82</v>
      </c>
      <c r="I13" s="4" t="s">
        <v>83</v>
      </c>
      <c r="J13" s="4" t="s">
        <v>84</v>
      </c>
      <c r="K13" s="4" t="s">
        <v>22</v>
      </c>
    </row>
    <row r="14" customFormat="false" ht="46.25" hidden="false" customHeight="false" outlineLevel="0" collapsed="false">
      <c r="A14" s="4" t="n">
        <v>10</v>
      </c>
      <c r="B14" s="4" t="s">
        <v>62</v>
      </c>
      <c r="C14" s="5" t="s">
        <v>85</v>
      </c>
      <c r="D14" s="4" t="s">
        <v>33</v>
      </c>
      <c r="E14" s="4" t="s">
        <v>86</v>
      </c>
      <c r="F14" s="4" t="s">
        <v>87</v>
      </c>
      <c r="G14" s="4" t="s">
        <v>88</v>
      </c>
      <c r="H14" s="4" t="s">
        <v>89</v>
      </c>
      <c r="I14" s="4" t="s">
        <v>37</v>
      </c>
      <c r="J14" s="4" t="s">
        <v>90</v>
      </c>
      <c r="K14" s="4" t="s">
        <v>91</v>
      </c>
    </row>
    <row r="15" customFormat="false" ht="35.05" hidden="false" customHeight="false" outlineLevel="0" collapsed="false">
      <c r="A15" s="4" t="n">
        <v>11</v>
      </c>
      <c r="B15" s="4" t="s">
        <v>62</v>
      </c>
      <c r="C15" s="5" t="s">
        <v>92</v>
      </c>
      <c r="D15" s="4" t="s">
        <v>33</v>
      </c>
      <c r="E15" s="4" t="s">
        <v>93</v>
      </c>
      <c r="F15" s="4" t="s">
        <v>94</v>
      </c>
      <c r="G15" s="4" t="s">
        <v>95</v>
      </c>
      <c r="H15" s="4" t="s">
        <v>96</v>
      </c>
      <c r="I15" s="4" t="s">
        <v>37</v>
      </c>
      <c r="J15" s="4" t="s">
        <v>97</v>
      </c>
      <c r="K15" s="4" t="s">
        <v>98</v>
      </c>
    </row>
    <row r="16" customFormat="false" ht="35.05" hidden="false" customHeight="false" outlineLevel="0" collapsed="false">
      <c r="A16" s="4" t="n">
        <v>12</v>
      </c>
      <c r="B16" s="4" t="s">
        <v>62</v>
      </c>
      <c r="C16" s="5" t="s">
        <v>99</v>
      </c>
      <c r="D16" s="4" t="s">
        <v>33</v>
      </c>
      <c r="E16" s="4" t="s">
        <v>100</v>
      </c>
      <c r="F16" s="4" t="s">
        <v>101</v>
      </c>
      <c r="G16" s="4" t="s">
        <v>102</v>
      </c>
      <c r="H16" s="4" t="s">
        <v>103</v>
      </c>
      <c r="I16" s="4" t="s">
        <v>37</v>
      </c>
      <c r="J16" s="4" t="s">
        <v>104</v>
      </c>
      <c r="K16" s="4" t="s">
        <v>105</v>
      </c>
    </row>
    <row r="17" customFormat="false" ht="23.85" hidden="false" customHeight="false" outlineLevel="0" collapsed="false">
      <c r="A17" s="4" t="n">
        <v>13</v>
      </c>
      <c r="B17" s="4" t="s">
        <v>62</v>
      </c>
      <c r="C17" s="5" t="s">
        <v>106</v>
      </c>
      <c r="D17" s="4" t="s">
        <v>15</v>
      </c>
      <c r="E17" s="4" t="s">
        <v>107</v>
      </c>
      <c r="F17" s="4" t="s">
        <v>108</v>
      </c>
      <c r="G17" s="4" t="s">
        <v>109</v>
      </c>
      <c r="H17" s="4" t="s">
        <v>37</v>
      </c>
      <c r="I17" s="4" t="s">
        <v>110</v>
      </c>
      <c r="J17" s="4" t="s">
        <v>111</v>
      </c>
      <c r="K17" s="4" t="s">
        <v>22</v>
      </c>
    </row>
    <row r="18" customFormat="false" ht="35.05" hidden="false" customHeight="false" outlineLevel="0" collapsed="false">
      <c r="A18" s="4" t="n">
        <v>14</v>
      </c>
      <c r="B18" s="4" t="s">
        <v>112</v>
      </c>
      <c r="C18" s="5" t="s">
        <v>113</v>
      </c>
      <c r="D18" s="4" t="s">
        <v>15</v>
      </c>
      <c r="E18" s="4" t="s">
        <v>114</v>
      </c>
      <c r="F18" s="4" t="s">
        <v>115</v>
      </c>
      <c r="G18" s="4" t="s">
        <v>116</v>
      </c>
      <c r="H18" s="4" t="s">
        <v>117</v>
      </c>
      <c r="I18" s="4" t="s">
        <v>118</v>
      </c>
      <c r="J18" s="4" t="s">
        <v>119</v>
      </c>
      <c r="K18" s="4" t="s">
        <v>22</v>
      </c>
    </row>
    <row r="19" customFormat="false" ht="46.25" hidden="false" customHeight="false" outlineLevel="0" collapsed="false">
      <c r="A19" s="4" t="n">
        <v>15</v>
      </c>
      <c r="B19" s="4" t="s">
        <v>112</v>
      </c>
      <c r="C19" s="5" t="s">
        <v>120</v>
      </c>
      <c r="D19" s="4" t="s">
        <v>15</v>
      </c>
      <c r="E19" s="4" t="s">
        <v>121</v>
      </c>
      <c r="F19" s="4" t="s">
        <v>122</v>
      </c>
      <c r="G19" s="4" t="s">
        <v>123</v>
      </c>
      <c r="H19" s="4" t="s">
        <v>124</v>
      </c>
      <c r="I19" s="4" t="s">
        <v>125</v>
      </c>
      <c r="J19" s="4" t="s">
        <v>126</v>
      </c>
      <c r="K19" s="4" t="s">
        <v>22</v>
      </c>
    </row>
    <row r="20" customFormat="false" ht="46.25" hidden="false" customHeight="false" outlineLevel="0" collapsed="false">
      <c r="A20" s="4" t="n">
        <v>16</v>
      </c>
      <c r="B20" s="4" t="s">
        <v>112</v>
      </c>
      <c r="C20" s="5" t="s">
        <v>127</v>
      </c>
      <c r="D20" s="4" t="s">
        <v>15</v>
      </c>
      <c r="E20" s="4" t="s">
        <v>128</v>
      </c>
      <c r="F20" s="4" t="s">
        <v>129</v>
      </c>
      <c r="G20" s="4" t="s">
        <v>130</v>
      </c>
      <c r="H20" s="4" t="s">
        <v>37</v>
      </c>
      <c r="I20" s="4" t="s">
        <v>131</v>
      </c>
      <c r="J20" s="4" t="s">
        <v>132</v>
      </c>
      <c r="K20" s="4" t="s">
        <v>22</v>
      </c>
    </row>
  </sheetData>
  <autoFilter ref="A4:K20"/>
  <mergeCells count="1">
    <mergeCell ref="A2:K2"/>
  </mergeCells>
  <conditionalFormatting sqref="D5:D20">
    <cfRule type="expression" priority="2" aboveAverage="0" equalAverage="0" bottom="0" percent="0" rank="0" text="" dxfId="6">
      <formula>$D5="Achievable"</formula>
    </cfRule>
    <cfRule type="expression" priority="3" aboveAverage="0" equalAverage="0" bottom="0" percent="0" rank="0" text="" dxfId="7">
      <formula>$D5="Partly achievable"</formula>
    </cfRule>
    <cfRule type="expression" priority="4" aboveAverage="0" equalAverage="0" bottom="0" percent="0" rank="0" text="" dxfId="8">
      <formula>$D5="Not achievable yet"</formula>
    </cfRule>
  </conditionalFormatting>
  <dataValidations count="1">
    <dataValidation allowBlank="false" errorStyle="stop" operator="between" showDropDown="false" showErrorMessage="false" showInputMessage="false" sqref="D5:D20" type="list">
      <formula1>"Achievable,Partly achievable,Not achievable yet"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12"/>
  </cols>
  <sheetData>
    <row r="1" customFormat="false" ht="17.35" hidden="false" customHeight="false" outlineLevel="0" collapsed="false">
      <c r="A1" s="1" t="s">
        <v>133</v>
      </c>
    </row>
    <row r="3" customFormat="false" ht="15" hidden="false" customHeight="false" outlineLevel="0" collapsed="false">
      <c r="A3" s="6" t="s">
        <v>5</v>
      </c>
      <c r="B3" s="6" t="s">
        <v>134</v>
      </c>
    </row>
    <row r="4" customFormat="false" ht="15" hidden="false" customHeight="false" outlineLevel="0" collapsed="false">
      <c r="A4" s="7" t="s">
        <v>15</v>
      </c>
      <c r="B4" s="8" t="n">
        <f aca="false">COUNTIF(KPIs!$D$5:$D$20,A4)</f>
        <v>9</v>
      </c>
    </row>
    <row r="5" customFormat="false" ht="15" hidden="false" customHeight="false" outlineLevel="0" collapsed="false">
      <c r="A5" s="9" t="s">
        <v>42</v>
      </c>
      <c r="B5" s="8" t="n">
        <f aca="false">COUNTIF(KPIs!$D$5:$D$20,A5)</f>
        <v>3</v>
      </c>
    </row>
    <row r="6" customFormat="false" ht="15" hidden="false" customHeight="false" outlineLevel="0" collapsed="false">
      <c r="A6" s="10" t="s">
        <v>33</v>
      </c>
      <c r="B6" s="8" t="n">
        <f aca="false">COUNTIF(KPIs!$D$5:$D$20,A6)</f>
        <v>4</v>
      </c>
    </row>
    <row r="7" customFormat="false" ht="15" hidden="false" customHeight="false" outlineLevel="0" collapsed="false">
      <c r="A7" s="11" t="s">
        <v>135</v>
      </c>
      <c r="B7" s="11" t="n">
        <f aca="false">SUM(B4:B6)</f>
        <v>16</v>
      </c>
    </row>
    <row r="9" customFormat="false" ht="15" hidden="false" customHeight="false" outlineLevel="0" collapsed="false">
      <c r="A9" s="11" t="s">
        <v>136</v>
      </c>
    </row>
    <row r="10" customFormat="false" ht="15" hidden="false" customHeight="false" outlineLevel="0" collapsed="false">
      <c r="A10" s="6" t="s">
        <v>137</v>
      </c>
      <c r="B10" s="6" t="s">
        <v>138</v>
      </c>
      <c r="C10" s="6" t="s">
        <v>139</v>
      </c>
    </row>
    <row r="11" customFormat="false" ht="15" hidden="false" customHeight="false" outlineLevel="0" collapsed="false">
      <c r="A11" s="8" t="s">
        <v>140</v>
      </c>
      <c r="B11" s="8" t="n">
        <f aca="false">COUNTIF(KPIs!$H$5:$H$20,A11&amp;"*")</f>
        <v>4</v>
      </c>
      <c r="C11" s="8" t="n">
        <f aca="false">COUNTIF(KPIs!$I$5:$I$20,A11&amp;"*")</f>
        <v>10</v>
      </c>
    </row>
    <row r="12" customFormat="false" ht="15" hidden="false" customHeight="false" outlineLevel="0" collapsed="false">
      <c r="A12" s="8" t="s">
        <v>141</v>
      </c>
      <c r="B12" s="8" t="n">
        <f aca="false">COUNTIF(KPIs!$H$5:$H$20,A12&amp;"*")</f>
        <v>4</v>
      </c>
      <c r="C12" s="8" t="n">
        <f aca="false">COUNTIF(KPIs!$I$5:$I$20,A12&amp;"*")</f>
        <v>2</v>
      </c>
    </row>
    <row r="13" customFormat="false" ht="15" hidden="false" customHeight="false" outlineLevel="0" collapsed="false">
      <c r="A13" s="8" t="s">
        <v>37</v>
      </c>
      <c r="B13" s="8" t="n">
        <f aca="false">COUNTIF(KPIs!$H$5:$H$20,A13&amp;"*")</f>
        <v>8</v>
      </c>
      <c r="C13" s="8" t="n">
        <f aca="false">COUNTIF(KPIs!$I$5:$I$20,A13&amp;"*")</f>
        <v>4</v>
      </c>
    </row>
    <row r="15" customFormat="false" ht="15" hidden="false" customHeight="false" outlineLevel="0" collapsed="false">
      <c r="A15" s="12" t="s">
        <v>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2026-10-28T10:30:08Z</dcterms:created>
  <dc:creator>openpyxl</dc:creator>
  <dc:description/>
  <dc:language>en-US</dc:language>
  <cp:lastModifiedBy/>
  <dcterms:modified xsi:type="dcterms:W3CDTF">2026-10-28T10:30:08Z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